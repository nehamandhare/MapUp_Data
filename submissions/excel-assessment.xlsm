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487041\Downloads\"/>
    </mc:Choice>
  </mc:AlternateContent>
  <xr:revisionPtr revIDLastSave="0" documentId="13_ncr:1_{F007289F-1D4B-4644-8376-0E5681C7D7CF}" xr6:coauthVersionLast="47" xr6:coauthVersionMax="47" xr10:uidLastSave="{00000000-0000-0000-0000-000000000000}"/>
  <bookViews>
    <workbookView xWindow="-108" yWindow="-108" windowWidth="23256" windowHeight="1257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5" l="1"/>
  <c r="D13" i="19"/>
  <c r="D14" i="19"/>
  <c r="D15" i="19"/>
  <c r="D16" i="19"/>
  <c r="D17" i="19"/>
  <c r="D18" i="19"/>
  <c r="D19" i="19"/>
  <c r="D20" i="19"/>
  <c r="D21" i="19"/>
  <c r="D12" i="19"/>
  <c r="D22" i="19" s="1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F6" i="18"/>
  <c r="E6" i="18"/>
  <c r="D6" i="18"/>
  <c r="C6" i="18"/>
  <c r="C29" i="18" s="1"/>
  <c r="B6" i="18"/>
  <c r="D28" i="18" l="1"/>
  <c r="E28" i="18"/>
  <c r="F28" i="18"/>
  <c r="B29" i="18"/>
  <c r="B30" i="18"/>
  <c r="C28" i="18"/>
  <c r="F30" i="18"/>
  <c r="E30" i="18"/>
  <c r="D30" i="18"/>
  <c r="C30" i="18"/>
  <c r="F29" i="18"/>
  <c r="E29" i="18"/>
  <c r="D29" i="18"/>
  <c r="B28" i="18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<sst xmlns="http://schemas.openxmlformats.org/spreadsheetml/2006/main" count="404" uniqueCount="181">
  <si>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</si>
  <si>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</si>
  <si>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</si>
  <si>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</si>
  <si>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</si>
  <si>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</si>
  <si>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</si>
  <si>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</si>
  <si>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</si>
  <si>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</si>
  <si>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</si>
  <si>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</si>
  <si>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</si>
  <si>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</si>
  <si>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</si>
  <si>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</si>
  <si>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</si>
  <si>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</si>
  <si>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</si>
  <si>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</si>
  <si>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</si>
  <si>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</si>
  <si>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</si>
  <si>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</si>
  <si>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</si>
  <si>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</si>
  <si>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</si>
  <si>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</si>
  <si>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</si>
  <si>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</si>
  <si>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</si>
  <si>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</si>
  <si>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</si>
  <si>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</si>
  <si>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</si>
  <si>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</si>
  <si>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</si>
  <si>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</si>
  <si>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</si>
  <si>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</si>
  <si>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</si>
  <si>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</si>
  <si>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</si>
  <si>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</si>
  <si>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</si>
  <si>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</si>
  <si>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</si>
  <si>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</si>
  <si>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</si>
  <si>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</si>
  <si>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</si>
  <si>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</si>
  <si>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</si>
  <si>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</si>
  <si>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</si>
  <si>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</si>
  <si>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</si>
  <si>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</si>
  <si>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</si>
  <si>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</si>
  <si>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</si>
  <si>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</si>
  <si>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</si>
  <si>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</si>
  <si>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</si>
  <si>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</si>
  <si>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</si>
  <si>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</si>
  <si>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</si>
  <si>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</si>
  <si>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</si>
  <si>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</si>
  <si>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</si>
  <si>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</si>
  <si>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</si>
  <si>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</si>
  <si>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</si>
  <si>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</si>
  <si>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</si>
  <si>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</si>
  <si>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</si>
  <si>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</si>
  <si>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</si>
  <si>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</si>
  <si>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</si>
  <si>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</si>
  <si>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</si>
  <si>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</si>
  <si>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</si>
  <si>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</si>
  <si>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</si>
  <si>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</si>
  <si>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</si>
  <si>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</si>
  <si>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</si>
  <si>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</si>
  <si>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</si>
  <si>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</si>
  <si>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</si>
  <si>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</si>
  <si>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</si>
  <si>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</si>
  <si>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</si>
  <si>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</si>
  <si>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</si>
  <si>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</si>
  <si>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</si>
  <si>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</si>
  <si>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</si>
  <si>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</si>
  <si>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</si>
  <si>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</si>
  <si>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</si>
  <si>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</si>
  <si>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</si>
  <si>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</si>
  <si>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</si>
  <si>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</si>
  <si>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</si>
  <si>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</si>
  <si>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</si>
  <si>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</si>
  <si>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</si>
  <si>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</si>
  <si>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</si>
  <si>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</si>
  <si>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</si>
  <si>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</si>
  <si>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</si>
  <si>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</si>
  <si>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</si>
  <si>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</si>
  <si>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</si>
  <si>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</si>
  <si>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</si>
  <si>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</si>
  <si>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</si>
  <si>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</si>
  <si>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</si>
  <si>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</si>
  <si>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</si>
  <si>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</si>
  <si>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</si>
  <si>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</si>
  <si>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</si>
  <si>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</si>
  <si>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</si>
  <si>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</si>
  <si>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</si>
  <si>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</si>
  <si>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</si>
  <si>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</si>
  <si>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</si>
  <si>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</si>
  <si>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</si>
  <si>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</si>
  <si>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</si>
  <si>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</si>
  <si>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</si>
  <si>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</si>
  <si>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</si>
  <si>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</si>
  <si>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</si>
  <si>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</si>
  <si>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</si>
  <si>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</si>
  <si>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</si>
  <si>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</si>
  <si>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</si>
  <si>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</si>
  <si>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</si>
  <si>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</si>
  <si>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</si>
  <si>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</si>
  <si>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</si>
  <si>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</si>
  <si>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</si>
  <si>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Used Alt+A+E; then Fixed length; then removed all'-'/another option is to use Mid formulae</t>
  </si>
  <si>
    <t>Sales revised</t>
  </si>
  <si>
    <t>Iferror; sum</t>
  </si>
  <si>
    <t>Index 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</si>
</sst>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color rgb="FF444746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5" fontId="7" fillId="0" borderId="0" xfId="0" applyNumberFormat="1" applyFont="1"/>
    <xf numFmtId="165" fontId="3" fillId="0" borderId="0" xfId="0" applyNumberFormat="1" applyFont="1"/>
    <xf numFmtId="0" fontId="8" fillId="6" borderId="0" xfId="0" applyFont="1" applyFill="1"/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D1" zoomScaleNormal="100" workbookViewId="0">
      <pane ySplit="1" topLeftCell="A2" activePane="bottomLeft" state="frozen"/>
      <selection pane="bottomLeft" activeCell="H10" sqref="H10:H4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7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autoFilter ref="A1:X40" xr:uid="{00000000-0001-0000-0000-000000000000}"/>
  <conditionalFormatting sqref="A1:A1048576">
    <cfRule type="duplicateValues" dxfId="6" priority="4"/>
  </conditionalFormatting>
  <conditionalFormatting sqref="B1:B1048576">
    <cfRule type="duplicateValues" dxfId="5" priority="3"/>
  </conditionalFormatting>
  <conditionalFormatting sqref="G1:W1048576">
    <cfRule type="cellIs" dxfId="0" priority="2" operator="equal">
      <formula>0</formula>
    </cfRule>
    <cfRule type="cellIs" dxfId="1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>
        <f>SUMIF(Dataset!H:H,"&gt;20",Dataset!H:H)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4" zoomScaleNormal="100" workbookViewId="0">
      <selection activeCell="B28" sqref="B28:F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VLOOKUP(A6,Dataset!A:G,7,0)</f>
        <v>2.7</v>
      </c>
      <c r="C6" s="12">
        <f>VLOOKUP(A6,Dataset!A:N,14,0)</f>
        <v>7.6</v>
      </c>
      <c r="D6" s="12">
        <f>VLOOKUP(A6,Dataset!A:R,18,0)</f>
        <v>4.2</v>
      </c>
      <c r="E6" s="12">
        <f>VLOOKUP(A6,Dataset!A:V,22,0)</f>
        <v>4.2</v>
      </c>
      <c r="F6" s="8">
        <f>VLOOKUP(A6,Dataset!A:V,22,0)</f>
        <v>4.2</v>
      </c>
    </row>
    <row r="7" spans="1:7" ht="14.4" x14ac:dyDescent="0.3">
      <c r="A7" s="7" t="s">
        <v>4</v>
      </c>
      <c r="B7" s="12">
        <f>VLOOKUP(A7,Dataset!A:G,7,0)</f>
        <v>2.7</v>
      </c>
      <c r="C7" s="12">
        <f>VLOOKUP(A7,Dataset!A:N,14,0)</f>
        <v>7.6</v>
      </c>
      <c r="D7" s="12">
        <f>VLOOKUP(A7,Dataset!A:R,18,0)</f>
        <v>4.2</v>
      </c>
      <c r="E7" s="12">
        <f>VLOOKUP(A7,Dataset!A:V,22,0)</f>
        <v>4.2</v>
      </c>
      <c r="F7" s="8">
        <f>VLOOKUP(A7,Dataset!A:V,22,0)</f>
        <v>4.2</v>
      </c>
    </row>
    <row r="8" spans="1:7" ht="14.4" x14ac:dyDescent="0.3">
      <c r="A8" s="7" t="s">
        <v>7</v>
      </c>
      <c r="B8" s="12">
        <f>VLOOKUP(A8,Dataset!A:G,7,0)</f>
        <v>3.6</v>
      </c>
      <c r="C8" s="12">
        <f>VLOOKUP(A8,Dataset!A:N,14,0)</f>
        <v>11.1</v>
      </c>
      <c r="D8" s="12">
        <f>VLOOKUP(A8,Dataset!A:R,18,0)</f>
        <v>5.8</v>
      </c>
      <c r="E8" s="12">
        <f>VLOOKUP(A8,Dataset!A:V,22,0)</f>
        <v>5.8</v>
      </c>
      <c r="F8" s="8">
        <f>VLOOKUP(A8,Dataset!A:V,22,0)</f>
        <v>5.8</v>
      </c>
    </row>
    <row r="9" spans="1:7" ht="14.4" x14ac:dyDescent="0.3">
      <c r="A9" s="7" t="s">
        <v>8</v>
      </c>
      <c r="B9" s="12">
        <f>VLOOKUP(A9,Dataset!A:G,7,0)</f>
        <v>4.9000000000000004</v>
      </c>
      <c r="C9" s="12">
        <f>VLOOKUP(A9,Dataset!A:N,14,0)</f>
        <v>13.3</v>
      </c>
      <c r="D9" s="12">
        <f>VLOOKUP(A9,Dataset!A:R,18,0)</f>
        <v>8.1</v>
      </c>
      <c r="E9" s="12">
        <f>VLOOKUP(A9,Dataset!A:V,22,0)</f>
        <v>8.1</v>
      </c>
      <c r="F9" s="8">
        <f>VLOOKUP(A9,Dataset!A:V,22,0)</f>
        <v>8.1</v>
      </c>
    </row>
    <row r="10" spans="1:7" ht="14.4" x14ac:dyDescent="0.3">
      <c r="A10" s="7" t="s">
        <v>11</v>
      </c>
      <c r="B10" s="12">
        <f>VLOOKUP(A10,Dataset!A:G,7,0)</f>
        <v>9.4</v>
      </c>
      <c r="C10" s="12">
        <f>VLOOKUP(A10,Dataset!A:N,14,0)</f>
        <v>28.3</v>
      </c>
      <c r="D10" s="12">
        <f>VLOOKUP(A10,Dataset!A:R,18,0)</f>
        <v>16.100000000000001</v>
      </c>
      <c r="E10" s="12">
        <f>VLOOKUP(A10,Dataset!A:V,22,0)</f>
        <v>16.100000000000001</v>
      </c>
      <c r="F10" s="8">
        <f>VLOOKUP(A10,Dataset!A:V,22,0)</f>
        <v>16.100000000000001</v>
      </c>
    </row>
    <row r="11" spans="1:7" ht="14.4" x14ac:dyDescent="0.3">
      <c r="A11" s="7" t="s">
        <v>12</v>
      </c>
      <c r="B11" s="12">
        <f>VLOOKUP(A11,Dataset!A:G,7,0)</f>
        <v>11.6</v>
      </c>
      <c r="C11" s="12">
        <f>VLOOKUP(A11,Dataset!A:N,14,0)</f>
        <v>35.200000000000003</v>
      </c>
      <c r="D11" s="12">
        <f>VLOOKUP(A11,Dataset!A:R,18,0)</f>
        <v>21.3</v>
      </c>
      <c r="E11" s="12">
        <f>VLOOKUP(A11,Dataset!A:V,22,0)</f>
        <v>21.3</v>
      </c>
      <c r="F11" s="8">
        <f>VLOOKUP(A11,Dataset!A:V,22,0)</f>
        <v>21.3</v>
      </c>
    </row>
    <row r="12" spans="1:7" ht="14.4" x14ac:dyDescent="0.3">
      <c r="A12" s="7" t="s">
        <v>14</v>
      </c>
      <c r="B12" s="12">
        <f>VLOOKUP(A12,Dataset!A:G,7,0)</f>
        <v>18.399999999999999</v>
      </c>
      <c r="C12" s="12">
        <f>VLOOKUP(A12,Dataset!A:N,14,0)</f>
        <v>55.6</v>
      </c>
      <c r="D12" s="12">
        <f>VLOOKUP(A12,Dataset!A:R,18,0)</f>
        <v>33.799999999999997</v>
      </c>
      <c r="E12" s="12">
        <f>VLOOKUP(A12,Dataset!A:V,22,0)</f>
        <v>33.799999999999997</v>
      </c>
      <c r="F12" s="8">
        <f>VLOOKUP(A12,Dataset!A:V,22,0)</f>
        <v>33.799999999999997</v>
      </c>
    </row>
    <row r="13" spans="1:7" ht="14.4" x14ac:dyDescent="0.3">
      <c r="A13" s="7" t="s">
        <v>15</v>
      </c>
      <c r="B13" s="12">
        <f>VLOOKUP(A13,Dataset!A:G,7,0)</f>
        <v>0</v>
      </c>
      <c r="C13" s="12">
        <f>VLOOKUP(A13,Dataset!A:N,14,0)</f>
        <v>0</v>
      </c>
      <c r="D13" s="12">
        <f>VLOOKUP(A13,Dataset!A:R,18,0)</f>
        <v>0</v>
      </c>
      <c r="E13" s="12">
        <f>VLOOKUP(A13,Dataset!A:V,22,0)</f>
        <v>0</v>
      </c>
      <c r="F13" s="8">
        <f>VLOOKUP(A13,Dataset!A:V,22,0)</f>
        <v>0</v>
      </c>
    </row>
    <row r="14" spans="1:7" ht="14.4" x14ac:dyDescent="0.3">
      <c r="A14" s="7" t="s">
        <v>16</v>
      </c>
      <c r="B14" s="12">
        <f>VLOOKUP(A14,Dataset!A:G,7,0)</f>
        <v>21.9</v>
      </c>
      <c r="C14" s="12">
        <f>VLOOKUP(A14,Dataset!A:N,14,0)</f>
        <v>61.5</v>
      </c>
      <c r="D14" s="12">
        <f>VLOOKUP(A14,Dataset!A:R,18,0)</f>
        <v>40.1</v>
      </c>
      <c r="E14" s="12">
        <f>VLOOKUP(A14,Dataset!A:V,22,0)</f>
        <v>40.1</v>
      </c>
      <c r="F14" s="8">
        <f>VLOOKUP(A14,Dataset!A:V,22,0)</f>
        <v>40.1</v>
      </c>
    </row>
    <row r="15" spans="1:7" ht="14.4" x14ac:dyDescent="0.3">
      <c r="A15" s="7" t="s">
        <v>18</v>
      </c>
      <c r="B15" s="12">
        <f>VLOOKUP(A15,Dataset!A:G,7,0)</f>
        <v>26.8</v>
      </c>
      <c r="C15" s="12">
        <f>VLOOKUP(A15,Dataset!A:N,14,0)</f>
        <v>79.599999999999994</v>
      </c>
      <c r="D15" s="12">
        <f>VLOOKUP(A15,Dataset!A:R,18,0)</f>
        <v>47.9</v>
      </c>
      <c r="E15" s="12">
        <f>VLOOKUP(A15,Dataset!A:V,22,0)</f>
        <v>47.9</v>
      </c>
      <c r="F15" s="8">
        <f>VLOOKUP(A15,Dataset!A:V,22,0)</f>
        <v>47.9</v>
      </c>
    </row>
    <row r="16" spans="1:7" ht="14.4" x14ac:dyDescent="0.3">
      <c r="A16" s="7" t="s">
        <v>20</v>
      </c>
      <c r="B16" s="12">
        <f>VLOOKUP(A16,Dataset!A:G,7,0)</f>
        <v>28.5</v>
      </c>
      <c r="C16" s="12">
        <f>VLOOKUP(A16,Dataset!A:N,14,0)</f>
        <v>85.4</v>
      </c>
      <c r="D16" s="12">
        <f>VLOOKUP(A16,Dataset!A:R,18,0)</f>
        <v>52.3</v>
      </c>
      <c r="E16" s="12">
        <f>VLOOKUP(A16,Dataset!A:V,22,0)</f>
        <v>52.3</v>
      </c>
      <c r="F16" s="8">
        <f>VLOOKUP(A16,Dataset!A:V,22,0)</f>
        <v>52.3</v>
      </c>
    </row>
    <row r="17" spans="1:6" ht="14.4" x14ac:dyDescent="0.3">
      <c r="A17" s="7" t="s">
        <v>22</v>
      </c>
      <c r="B17" s="12">
        <f>VLOOKUP(A17,Dataset!A:G,7,0)</f>
        <v>30.7</v>
      </c>
      <c r="C17" s="12">
        <f>VLOOKUP(A17,Dataset!A:N,14,0)</f>
        <v>92.1</v>
      </c>
      <c r="D17" s="12">
        <f>VLOOKUP(A17,Dataset!A:R,18,0)</f>
        <v>57</v>
      </c>
      <c r="E17" s="12">
        <f>VLOOKUP(A17,Dataset!A:V,22,0)</f>
        <v>57</v>
      </c>
      <c r="F17" s="8">
        <f>VLOOKUP(A17,Dataset!A:V,22,0)</f>
        <v>57</v>
      </c>
    </row>
    <row r="18" spans="1:6" ht="14.4" x14ac:dyDescent="0.3">
      <c r="A18" s="7" t="s">
        <v>23</v>
      </c>
      <c r="B18" s="12">
        <f>VLOOKUP(A18,Dataset!A:G,7,0)</f>
        <v>33.799999999999997</v>
      </c>
      <c r="C18" s="12">
        <f>VLOOKUP(A18,Dataset!A:N,14,0)</f>
        <v>101.3</v>
      </c>
      <c r="D18" s="12">
        <f>VLOOKUP(A18,Dataset!A:R,18,0)</f>
        <v>61.4</v>
      </c>
      <c r="E18" s="12">
        <f>VLOOKUP(A18,Dataset!A:V,22,0)</f>
        <v>61.4</v>
      </c>
      <c r="F18" s="8">
        <f>VLOOKUP(A18,Dataset!A:V,22,0)</f>
        <v>61.4</v>
      </c>
    </row>
    <row r="19" spans="1:6" ht="14.4" x14ac:dyDescent="0.3">
      <c r="A19" s="7" t="s">
        <v>24</v>
      </c>
      <c r="B19" s="12">
        <f>VLOOKUP(A19,Dataset!A:G,7,0)</f>
        <v>34.700000000000003</v>
      </c>
      <c r="C19" s="12">
        <f>VLOOKUP(A19,Dataset!A:N,14,0)</f>
        <v>106.1</v>
      </c>
      <c r="D19" s="12">
        <f>VLOOKUP(A19,Dataset!A:R,18,0)</f>
        <v>63.6</v>
      </c>
      <c r="E19" s="12">
        <f>VLOOKUP(A19,Dataset!A:V,22,0)</f>
        <v>63.6</v>
      </c>
      <c r="F19" s="8">
        <f>VLOOKUP(A19,Dataset!A:V,22,0)</f>
        <v>63.6</v>
      </c>
    </row>
    <row r="20" spans="1:6" ht="14.4" x14ac:dyDescent="0.3">
      <c r="A20" s="7" t="s">
        <v>28</v>
      </c>
      <c r="B20" s="12">
        <f>VLOOKUP(A20,Dataset!A:G,7,0)</f>
        <v>0</v>
      </c>
      <c r="C20" s="12">
        <f>VLOOKUP(A20,Dataset!A:N,14,0)</f>
        <v>0</v>
      </c>
      <c r="D20" s="12">
        <f>VLOOKUP(A20,Dataset!A:R,18,0)</f>
        <v>0</v>
      </c>
      <c r="E20" s="12">
        <f>VLOOKUP(A20,Dataset!A:V,22,0)</f>
        <v>0</v>
      </c>
      <c r="F20" s="8">
        <f>VLOOKUP(A20,Dataset!A:V,22,0)</f>
        <v>0</v>
      </c>
    </row>
    <row r="21" spans="1:6" ht="14.4" x14ac:dyDescent="0.3">
      <c r="A21" s="7" t="s">
        <v>57</v>
      </c>
      <c r="B21" s="12">
        <f>VLOOKUP(A21,Dataset!A:G,7,0)</f>
        <v>41.3</v>
      </c>
      <c r="C21" s="12">
        <f>VLOOKUP(A21,Dataset!A:N,14,0)</f>
        <v>124.4</v>
      </c>
      <c r="D21" s="12">
        <f>VLOOKUP(A21,Dataset!A:R,18,0)</f>
        <v>75</v>
      </c>
      <c r="E21" s="12">
        <f>VLOOKUP(A21,Dataset!A:V,22,0)</f>
        <v>75</v>
      </c>
      <c r="F21" s="8">
        <f>VLOOKUP(A21,Dataset!A:V,22,0)</f>
        <v>75</v>
      </c>
    </row>
    <row r="22" spans="1:6" ht="14.4" x14ac:dyDescent="0.3">
      <c r="A22" s="7" t="s">
        <v>58</v>
      </c>
      <c r="B22" s="12">
        <f>VLOOKUP(A22,Dataset!A:G,7,0)</f>
        <v>-1</v>
      </c>
      <c r="C22" s="12">
        <f>VLOOKUP(A22,Dataset!A:N,14,0)</f>
        <v>-1</v>
      </c>
      <c r="D22" s="12">
        <f>VLOOKUP(A22,Dataset!A:R,18,0)</f>
        <v>-1</v>
      </c>
      <c r="E22" s="12">
        <f>VLOOKUP(A22,Dataset!A:V,22,0)</f>
        <v>-1</v>
      </c>
      <c r="F22" s="8">
        <f>VLOOKUP(A22,Dataset!A:V,22,0)</f>
        <v>-1</v>
      </c>
    </row>
    <row r="23" spans="1:6" ht="14.4" x14ac:dyDescent="0.3">
      <c r="A23" s="7" t="s">
        <v>31</v>
      </c>
      <c r="B23" s="12">
        <f>VLOOKUP(A23,Dataset!A:G,7,0)</f>
        <v>45</v>
      </c>
      <c r="C23" s="12">
        <f>VLOOKUP(A23,Dataset!A:N,14,0)</f>
        <v>133.4</v>
      </c>
      <c r="D23" s="12">
        <f>VLOOKUP(A23,Dataset!A:R,18,0)</f>
        <v>79.400000000000006</v>
      </c>
      <c r="E23" s="12">
        <f>VLOOKUP(A23,Dataset!A:V,22,0)</f>
        <v>79.400000000000006</v>
      </c>
      <c r="F23" s="8">
        <f>VLOOKUP(A23,Dataset!A:V,22,0)</f>
        <v>79.400000000000006</v>
      </c>
    </row>
    <row r="24" spans="1:6" ht="14.4" x14ac:dyDescent="0.3">
      <c r="A24" s="7" t="s">
        <v>32</v>
      </c>
      <c r="B24" s="12">
        <f>VLOOKUP(A24,Dataset!A:G,7,0)</f>
        <v>-1</v>
      </c>
      <c r="C24" s="12">
        <f>VLOOKUP(A24,Dataset!A:N,14,0)</f>
        <v>-1</v>
      </c>
      <c r="D24" s="12">
        <f>VLOOKUP(A24,Dataset!A:R,18,0)</f>
        <v>-1</v>
      </c>
      <c r="E24" s="12">
        <f>VLOOKUP(A24,Dataset!A:V,22,0)</f>
        <v>-1</v>
      </c>
      <c r="F24" s="8">
        <f>VLOOKUP(A24,Dataset!A:V,22,0)</f>
        <v>-1</v>
      </c>
    </row>
    <row r="25" spans="1:6" ht="14.4" x14ac:dyDescent="0.3">
      <c r="A25" s="7" t="s">
        <v>34</v>
      </c>
      <c r="B25" s="12">
        <f>VLOOKUP(A25,Dataset!A:G,7,0)</f>
        <v>43.3</v>
      </c>
      <c r="C25" s="12">
        <f>VLOOKUP(A25,Dataset!A:N,14,0)</f>
        <v>128.6</v>
      </c>
      <c r="D25" s="12">
        <f>VLOOKUP(A25,Dataset!A:R,18,0)</f>
        <v>79.400000000000006</v>
      </c>
      <c r="E25" s="12">
        <f>VLOOKUP(A25,Dataset!A:V,22,0)</f>
        <v>79.400000000000006</v>
      </c>
      <c r="F25" s="8">
        <f>VLOOKUP(A25,Dataset!A:V,22,0)</f>
        <v>79.400000000000006</v>
      </c>
    </row>
    <row r="26" spans="1:6" ht="14.4" x14ac:dyDescent="0.3">
      <c r="A26" s="7" t="s">
        <v>37</v>
      </c>
      <c r="B26" s="12">
        <f>VLOOKUP(A26,Dataset!A:G,7,0)</f>
        <v>49.1</v>
      </c>
      <c r="C26" s="12">
        <f>VLOOKUP(A26,Dataset!A:N,14,0)</f>
        <v>146.80000000000001</v>
      </c>
      <c r="D26" s="12">
        <f>VLOOKUP(A26,Dataset!A:R,18,0)</f>
        <v>90.9</v>
      </c>
      <c r="E26" s="12">
        <f>VLOOKUP(A26,Dataset!A:V,22,0)</f>
        <v>90.9</v>
      </c>
      <c r="F26" s="8">
        <f>VLOOKUP(A26,Dataset!A:V,22,0)</f>
        <v>90.9</v>
      </c>
    </row>
    <row r="27" spans="1:6" ht="14.4" x14ac:dyDescent="0.3">
      <c r="A27" s="7" t="s">
        <v>39</v>
      </c>
      <c r="B27" s="12">
        <f>VLOOKUP(A27,Dataset!A:G,7,0)</f>
        <v>51.8</v>
      </c>
      <c r="C27" s="12">
        <f>VLOOKUP(A27,Dataset!A:N,14,0)</f>
        <v>156.4</v>
      </c>
      <c r="D27" s="12">
        <f>VLOOKUP(A27,Dataset!A:R,18,0)</f>
        <v>93.1</v>
      </c>
      <c r="E27" s="12">
        <f>VLOOKUP(A27,Dataset!A:V,22,0)</f>
        <v>93.1</v>
      </c>
      <c r="F27" s="8">
        <f>VLOOKUP(A27,Dataset!A:V,22,0)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93.1</v>
      </c>
      <c r="F29" s="31">
        <f t="shared" si="1"/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37.800000000000004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7" sqref="B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40" t="s">
        <v>177</v>
      </c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7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7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7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7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7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7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7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7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7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7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7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7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7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7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7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7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7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7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7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7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7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7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7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7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7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7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7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7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7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7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7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7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7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7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7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7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7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7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9">
        <v>21016</v>
      </c>
      <c r="C54" s="1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2" t="s">
        <v>85</v>
      </c>
      <c r="B1" s="41" t="s">
        <v>167</v>
      </c>
    </row>
    <row r="2" spans="1:4" ht="18" x14ac:dyDescent="0.35">
      <c r="B2" s="40" t="s">
        <v>166</v>
      </c>
    </row>
    <row r="5" spans="1:4" ht="14.4" x14ac:dyDescent="0.3">
      <c r="B5" s="1" t="s">
        <v>151</v>
      </c>
    </row>
    <row r="6" spans="1:4" ht="14.4" x14ac:dyDescent="0.3">
      <c r="A6" s="3" t="s">
        <v>53</v>
      </c>
      <c r="B6" s="1" t="s">
        <v>179</v>
      </c>
    </row>
    <row r="7" spans="1:4" ht="14.4" x14ac:dyDescent="0.3">
      <c r="A7" s="3" t="s">
        <v>153</v>
      </c>
      <c r="B7" s="1"/>
    </row>
    <row r="10" spans="1:4" ht="23.4" x14ac:dyDescent="0.45">
      <c r="A10" s="18" t="s">
        <v>162</v>
      </c>
    </row>
    <row r="11" spans="1:4" ht="14.4" x14ac:dyDescent="0.3">
      <c r="A11" s="32" t="s">
        <v>86</v>
      </c>
      <c r="B11" s="17" t="s">
        <v>87</v>
      </c>
      <c r="C11" s="17" t="s">
        <v>88</v>
      </c>
      <c r="D11" s="48" t="s">
        <v>178</v>
      </c>
    </row>
    <row r="12" spans="1:4" ht="14.4" x14ac:dyDescent="0.3">
      <c r="A12" s="32">
        <v>44927</v>
      </c>
      <c r="B12" s="17" t="s">
        <v>59</v>
      </c>
      <c r="C12" s="17">
        <v>200</v>
      </c>
      <c r="D12" s="2">
        <f>IFERROR(SUM(C12),20)</f>
        <v>200</v>
      </c>
    </row>
    <row r="13" spans="1:4" ht="14.4" x14ac:dyDescent="0.3">
      <c r="A13" s="32">
        <v>44928</v>
      </c>
      <c r="B13" s="17" t="s">
        <v>60</v>
      </c>
      <c r="C13" s="17" t="e">
        <v>#N/A</v>
      </c>
      <c r="D13" s="2">
        <f t="shared" ref="D13:D21" si="0">IFERROR(SUM(C13),20)</f>
        <v>20</v>
      </c>
    </row>
    <row r="14" spans="1:4" ht="14.4" x14ac:dyDescent="0.3">
      <c r="A14" s="32">
        <v>44929</v>
      </c>
      <c r="B14" s="17" t="s">
        <v>61</v>
      </c>
      <c r="C14" s="17">
        <v>50</v>
      </c>
      <c r="D14" s="2">
        <f t="shared" si="0"/>
        <v>50</v>
      </c>
    </row>
    <row r="15" spans="1:4" ht="14.4" x14ac:dyDescent="0.3">
      <c r="A15" s="32">
        <v>44930</v>
      </c>
      <c r="B15" s="17" t="s">
        <v>62</v>
      </c>
      <c r="C15" s="17" t="e">
        <v>#N/A</v>
      </c>
      <c r="D15" s="2">
        <f t="shared" si="0"/>
        <v>20</v>
      </c>
    </row>
    <row r="16" spans="1:4" ht="14.4" x14ac:dyDescent="0.3">
      <c r="A16" s="32">
        <v>44931</v>
      </c>
      <c r="B16" s="17" t="s">
        <v>63</v>
      </c>
      <c r="C16" s="17">
        <v>10</v>
      </c>
      <c r="D16" s="2">
        <f t="shared" si="0"/>
        <v>10</v>
      </c>
    </row>
    <row r="17" spans="1:4" ht="14.4" x14ac:dyDescent="0.3">
      <c r="A17" s="32">
        <v>44932</v>
      </c>
      <c r="B17" s="17" t="s">
        <v>154</v>
      </c>
      <c r="C17" s="17">
        <v>150</v>
      </c>
      <c r="D17" s="2">
        <f t="shared" si="0"/>
        <v>150</v>
      </c>
    </row>
    <row r="18" spans="1:4" ht="14.4" x14ac:dyDescent="0.3">
      <c r="A18" s="32">
        <v>44933</v>
      </c>
      <c r="B18" s="17" t="s">
        <v>155</v>
      </c>
      <c r="C18" s="17">
        <v>80</v>
      </c>
      <c r="D18" s="2">
        <f t="shared" si="0"/>
        <v>80</v>
      </c>
    </row>
    <row r="19" spans="1:4" ht="14.4" x14ac:dyDescent="0.3">
      <c r="A19" s="32">
        <v>44934</v>
      </c>
      <c r="B19" s="17" t="s">
        <v>156</v>
      </c>
      <c r="C19" s="17" t="e">
        <v>#N/A</v>
      </c>
      <c r="D19" s="2">
        <f t="shared" si="0"/>
        <v>20</v>
      </c>
    </row>
    <row r="20" spans="1:4" ht="14.4" x14ac:dyDescent="0.3">
      <c r="A20" s="32">
        <v>44935</v>
      </c>
      <c r="B20" s="17" t="s">
        <v>157</v>
      </c>
      <c r="C20" s="17">
        <v>30</v>
      </c>
      <c r="D20" s="2">
        <f t="shared" si="0"/>
        <v>30</v>
      </c>
    </row>
    <row r="21" spans="1:4" ht="14.4" x14ac:dyDescent="0.3">
      <c r="A21" s="32">
        <v>44936</v>
      </c>
      <c r="B21" s="17" t="s">
        <v>158</v>
      </c>
      <c r="C21" s="17" t="e">
        <v>#N/A</v>
      </c>
      <c r="D21" s="2">
        <f t="shared" si="0"/>
        <v>20</v>
      </c>
    </row>
    <row r="22" spans="1:4" ht="14.4" x14ac:dyDescent="0.3">
      <c r="B22" s="17" t="s">
        <v>159</v>
      </c>
      <c r="C22" s="25"/>
      <c r="D22" s="2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 t="s">
        <v>180</v>
      </c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9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  <c r="E27" s="49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Mandhare, Neha</cp:lastModifiedBy>
  <dcterms:created xsi:type="dcterms:W3CDTF">2015-02-10T17:33:11Z</dcterms:created>
  <dcterms:modified xsi:type="dcterms:W3CDTF">2023-12-10T19:11:54Z</dcterms:modified>
</cp:coreProperties>
</file>